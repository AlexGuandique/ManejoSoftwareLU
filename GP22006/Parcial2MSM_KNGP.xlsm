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esktop\GP22006\"/>
    </mc:Choice>
  </mc:AlternateContent>
  <xr:revisionPtr revIDLastSave="0" documentId="8_{01D280C0-DE0D-496D-B6D2-E84B98719308}" xr6:coauthVersionLast="47" xr6:coauthVersionMax="47" xr10:uidLastSave="{00000000-0000-0000-0000-000000000000}"/>
  <bookViews>
    <workbookView xWindow="-120" yWindow="-120" windowWidth="20730" windowHeight="11160" activeTab="4" xr2:uid="{2CD82166-DBD3-456E-B9DD-1592EBDA5A60}"/>
  </bookViews>
  <sheets>
    <sheet name="E1" sheetId="1" r:id="rId1"/>
    <sheet name="E2" sheetId="2" r:id="rId2"/>
    <sheet name="E3" sheetId="3" r:id="rId3"/>
    <sheet name="E4" sheetId="6" r:id="rId4"/>
    <sheet name="E5" sheetId="7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3" l="1"/>
  <c r="E5" i="3"/>
  <c r="E6" i="3"/>
  <c r="E7" i="3"/>
  <c r="E8" i="3"/>
  <c r="E9" i="3"/>
  <c r="E10" i="3"/>
  <c r="E11" i="3"/>
  <c r="E12" i="3"/>
  <c r="E13" i="3"/>
  <c r="E14" i="3"/>
  <c r="E15" i="3"/>
  <c r="E3" i="3"/>
  <c r="D20" i="7"/>
  <c r="E20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4" i="7"/>
  <c r="G20" i="7" s="1"/>
  <c r="F5" i="7"/>
  <c r="F6" i="7"/>
  <c r="F7" i="7"/>
  <c r="F20" i="7" s="1"/>
  <c r="F8" i="7"/>
  <c r="F9" i="7"/>
  <c r="F10" i="7"/>
  <c r="F11" i="7"/>
  <c r="F12" i="7"/>
  <c r="F13" i="7"/>
  <c r="F14" i="7"/>
  <c r="F15" i="7"/>
  <c r="F16" i="7"/>
  <c r="F17" i="7"/>
  <c r="F18" i="7"/>
  <c r="F19" i="7"/>
  <c r="F4" i="7"/>
  <c r="A9" i="2"/>
  <c r="A10" i="2"/>
  <c r="K3" i="1"/>
  <c r="K4" i="1"/>
  <c r="K5" i="1"/>
  <c r="K6" i="1"/>
  <c r="K7" i="1"/>
  <c r="K8" i="1"/>
  <c r="K9" i="1"/>
  <c r="K10" i="1"/>
  <c r="K11" i="1"/>
  <c r="J3" i="1"/>
  <c r="J4" i="1"/>
  <c r="J5" i="1"/>
  <c r="J6" i="1"/>
  <c r="J7" i="1"/>
  <c r="J8" i="1"/>
  <c r="J9" i="1"/>
  <c r="J10" i="1"/>
  <c r="J11" i="1"/>
  <c r="I3" i="1"/>
  <c r="I4" i="1"/>
  <c r="I5" i="1"/>
  <c r="I6" i="1"/>
  <c r="I7" i="1"/>
  <c r="I8" i="1"/>
  <c r="I9" i="1"/>
  <c r="I10" i="1"/>
  <c r="I11" i="1"/>
  <c r="H3" i="1"/>
  <c r="H4" i="1"/>
  <c r="H5" i="1"/>
  <c r="H6" i="1"/>
  <c r="H7" i="1"/>
  <c r="H8" i="1"/>
  <c r="H9" i="1"/>
  <c r="H10" i="1"/>
  <c r="H11" i="1"/>
  <c r="G3" i="1"/>
  <c r="G4" i="1"/>
  <c r="G5" i="1"/>
  <c r="G6" i="1"/>
  <c r="G7" i="1"/>
  <c r="G8" i="1"/>
  <c r="G9" i="1"/>
  <c r="G10" i="1"/>
  <c r="G11" i="1"/>
  <c r="F3" i="1"/>
  <c r="F4" i="1"/>
  <c r="F5" i="1"/>
  <c r="F6" i="1"/>
  <c r="F7" i="1"/>
  <c r="F8" i="1"/>
  <c r="F9" i="1"/>
  <c r="F10" i="1"/>
  <c r="F11" i="1"/>
  <c r="E3" i="1"/>
  <c r="E4" i="1"/>
  <c r="E5" i="1"/>
  <c r="E6" i="1"/>
  <c r="E7" i="1"/>
  <c r="E8" i="1"/>
  <c r="E9" i="1"/>
  <c r="E10" i="1"/>
  <c r="E11" i="1"/>
  <c r="D11" i="1"/>
  <c r="D3" i="1"/>
  <c r="D4" i="1"/>
  <c r="D5" i="1"/>
  <c r="D6" i="1"/>
  <c r="D7" i="1"/>
  <c r="D8" i="1"/>
  <c r="D9" i="1"/>
  <c r="D10" i="1"/>
  <c r="C3" i="1"/>
  <c r="C4" i="1"/>
  <c r="C5" i="1"/>
  <c r="C6" i="1"/>
  <c r="C7" i="1"/>
  <c r="C8" i="1"/>
  <c r="C9" i="1"/>
  <c r="C10" i="1"/>
  <c r="C11" i="1"/>
  <c r="B3" i="1"/>
  <c r="B4" i="1"/>
  <c r="B5" i="1"/>
  <c r="B6" i="1"/>
  <c r="B7" i="1"/>
  <c r="B8" i="1"/>
  <c r="B9" i="1"/>
  <c r="B10" i="1"/>
  <c r="B11" i="1"/>
  <c r="K2" i="1"/>
  <c r="J2" i="1"/>
  <c r="I2" i="1"/>
  <c r="H2" i="1"/>
  <c r="G2" i="1"/>
  <c r="F2" i="1"/>
  <c r="E2" i="1"/>
  <c r="D2" i="1"/>
  <c r="C2" i="1"/>
  <c r="B2" i="1"/>
  <c r="C17" i="3"/>
  <c r="B17" i="3"/>
  <c r="E5" i="2"/>
  <c r="E10" i="2"/>
  <c r="E9" i="2"/>
  <c r="A8" i="2"/>
  <c r="E8" i="2" s="1"/>
  <c r="A7" i="2"/>
  <c r="E7" i="2" s="1"/>
  <c r="A6" i="2"/>
  <c r="E6" i="2" s="1"/>
  <c r="A5" i="2"/>
  <c r="A4" i="2"/>
  <c r="E4" i="2" s="1"/>
  <c r="A3" i="2"/>
  <c r="E3" i="2" s="1"/>
  <c r="A2" i="2"/>
  <c r="E2" i="2" s="1"/>
  <c r="A1" i="2"/>
  <c r="E1" i="2" s="1"/>
  <c r="D15" i="3"/>
  <c r="D14" i="3"/>
  <c r="D13" i="3"/>
  <c r="D12" i="3"/>
  <c r="D11" i="3"/>
  <c r="D10" i="3"/>
  <c r="D9" i="3"/>
  <c r="D8" i="3"/>
  <c r="D7" i="3"/>
  <c r="D6" i="3"/>
  <c r="D5" i="3"/>
  <c r="D4" i="3"/>
  <c r="D3" i="3"/>
  <c r="D17" i="3" l="1"/>
  <c r="E17" i="3"/>
</calcChain>
</file>

<file path=xl/sharedStrings.xml><?xml version="1.0" encoding="utf-8"?>
<sst xmlns="http://schemas.openxmlformats.org/spreadsheetml/2006/main" count="105" uniqueCount="72">
  <si>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</si>
  <si>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</si>
  <si>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</si>
  <si>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</si>
  <si>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</si>
  <si>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</si>
  <si>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</si>
  <si>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</si>
  <si>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</si>
  <si>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</si>
  <si>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</si>
  <si>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</si>
  <si>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</si>
  <si>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</si>
  <si>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</si>
  <si>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</si>
  <si>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</si>
  <si>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</si>
  <si>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</si>
  <si>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</si>
  <si>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</si>
  <si>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</si>
  <si>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</si>
  <si>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</si>
  <si>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</si>
  <si>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</si>
  <si>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</si>
  <si>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</si>
  <si>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</si>
  <si>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</si>
  <si>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</si>
  <si>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</si>
  <si>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</si>
  <si>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Perez</t>
  </si>
  <si>
    <t xml:space="preserve">Cantidad </t>
  </si>
  <si>
    <t xml:space="preserve">Precio ($) </t>
  </si>
  <si>
    <t xml:space="preserve">Primer nombre </t>
  </si>
  <si>
    <t xml:space="preserve"> Segundo nombre</t>
  </si>
  <si>
    <t xml:space="preserve">Primer apelido </t>
  </si>
  <si>
    <t>Segundo apellido</t>
  </si>
  <si>
    <t xml:space="preserve">1) Crea una macro para aplicar un tipo de letra, familia, tamaño, color,etc. A cada uno de tus Nombres.   </t>
  </si>
  <si>
    <t>Kevin</t>
  </si>
  <si>
    <t>Nathanael</t>
  </si>
  <si>
    <r>
      <t xml:space="preserve"> </t>
    </r>
    <r>
      <rPr>
        <sz val="16"/>
        <color theme="9"/>
        <rFont val="Brush Script MT"/>
        <family val="4"/>
      </rPr>
      <t>Granados</t>
    </r>
  </si>
  <si>
    <t>Elemento #</t>
  </si>
  <si>
    <t>Tipo</t>
  </si>
  <si>
    <t>Descripción</t>
  </si>
  <si>
    <t>Inventario</t>
  </si>
  <si>
    <t>Precio</t>
  </si>
  <si>
    <t>Universal</t>
  </si>
  <si>
    <t>Caja de pesca pequeña</t>
  </si>
  <si>
    <t>Caja de pesca mediana</t>
  </si>
  <si>
    <t>Caja de pesca grande</t>
  </si>
  <si>
    <t>Refrigerador pequeño</t>
  </si>
  <si>
    <t>Refrigerador mediano</t>
  </si>
  <si>
    <t>Refrigerador grande</t>
  </si>
  <si>
    <t>Refrigerador pequeño y caja de pesca pequeña†</t>
  </si>
  <si>
    <t>Camión gigante con enfriador de lecho, caja de pesca con cortador de hielo†</t>
  </si>
  <si>
    <t>Hielo</t>
  </si>
  <si>
    <t>Camión gigante con enfriador de lecho, caja de pesca†</t>
  </si>
  <si>
    <t>Soportes de electrodos, suave</t>
  </si>
  <si>
    <t>Soporte para caña, dura</t>
  </si>
  <si>
    <t>Tubo</t>
  </si>
  <si>
    <t>Connelly Swept Wing con cuerda</t>
  </si>
  <si>
    <t>Connelly Convertable con cuerda</t>
  </si>
  <si>
    <t>Connelly Aquaglide GT6, circular para 6 pilotos con cuerda</t>
  </si>
  <si>
    <t>Soporte para caña, pesca en hielo</t>
  </si>
  <si>
    <t>Soporte para caña con almacenamiento extraíble de peces</t>
  </si>
  <si>
    <t>CREA UNA MACRO DE LO QUE GUSTES Y EXPLICA SU FUNCIONAMIENTO Y PROPOSITO.</t>
  </si>
  <si>
    <t>Total ($) con IVA</t>
  </si>
  <si>
    <t>Total  ($)  sin IVA</t>
  </si>
  <si>
    <t xml:space="preserve">Suministros de pesca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</si>
</sst>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5" formatCode="&quot;$&quot;#,##0.00"/>
    <numFmt numFmtId="166" formatCode="_(&quot;$&quot;* #,##0.00_);_(&quot;$&quot;* \(#,##0.00\);_(&quot;$&quot;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4"/>
      <name val="Algerian"/>
      <family val="5"/>
    </font>
    <font>
      <sz val="11"/>
      <color theme="5"/>
      <name val="Aharoni"/>
    </font>
    <font>
      <sz val="11"/>
      <color theme="5"/>
      <name val="Algerian"/>
      <family val="5"/>
    </font>
    <font>
      <sz val="12"/>
      <color theme="8"/>
      <name val="Arial Black"/>
      <family val="2"/>
    </font>
    <font>
      <sz val="16"/>
      <color theme="9"/>
      <name val="Brush Script MT"/>
      <family val="4"/>
    </font>
    <font>
      <sz val="20"/>
      <color theme="7"/>
      <name val="Bradley Hand ITC"/>
      <family val="4"/>
    </font>
    <font>
      <b/>
      <sz val="28"/>
      <color rgb="FFFF0000"/>
      <name val="Century Gothic"/>
      <family val="2"/>
    </font>
    <font>
      <b/>
      <i/>
      <u val="double"/>
      <sz val="28"/>
      <color theme="4"/>
      <name val="Century Gothic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5" fillId="6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/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0" fontId="0" fillId="2" borderId="2" xfId="0" applyFill="1" applyBorder="1" applyAlignment="1">
      <alignment horizontal="center"/>
    </xf>
    <xf numFmtId="165" fontId="0" fillId="0" borderId="0" xfId="0" applyNumberFormat="1"/>
    <xf numFmtId="0" fontId="3" fillId="5" borderId="2" xfId="0" applyFont="1" applyFill="1" applyBorder="1" applyAlignment="1">
      <alignment horizontal="left" vertical="center" wrapText="1"/>
    </xf>
    <xf numFmtId="3" fontId="4" fillId="0" borderId="5" xfId="0" applyNumberFormat="1" applyFont="1" applyBorder="1" applyAlignment="1">
      <alignment horizontal="center" vertical="center"/>
    </xf>
    <xf numFmtId="165" fontId="4" fillId="0" borderId="3" xfId="0" applyNumberFormat="1" applyFont="1" applyBorder="1" applyAlignment="1">
      <alignment horizontal="center" vertical="center"/>
    </xf>
    <xf numFmtId="165" fontId="2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1" fillId="3" borderId="7" xfId="0" applyFont="1" applyFill="1" applyBorder="1"/>
    <xf numFmtId="49" fontId="1" fillId="3" borderId="6" xfId="0" applyNumberFormat="1" applyFont="1" applyFill="1" applyBorder="1"/>
    <xf numFmtId="165" fontId="0" fillId="3" borderId="6" xfId="0" applyNumberFormat="1" applyFill="1" applyBorder="1"/>
    <xf numFmtId="0" fontId="5" fillId="9" borderId="0" xfId="0" applyFont="1" applyFill="1"/>
    <xf numFmtId="0" fontId="6" fillId="10" borderId="1" xfId="0" applyFont="1" applyFill="1" applyBorder="1"/>
    <xf numFmtId="0" fontId="0" fillId="0" borderId="0" xfId="0" applyFont="1"/>
    <xf numFmtId="1" fontId="7" fillId="11" borderId="1" xfId="0" applyNumberFormat="1" applyFont="1" applyFill="1" applyBorder="1"/>
    <xf numFmtId="0" fontId="7" fillId="0" borderId="0" xfId="0" applyFont="1"/>
    <xf numFmtId="0" fontId="7" fillId="9" borderId="0" xfId="0" applyFont="1" applyFill="1"/>
    <xf numFmtId="0" fontId="0" fillId="9" borderId="0" xfId="0" applyFill="1"/>
    <xf numFmtId="0" fontId="8" fillId="0" borderId="0" xfId="0" applyFont="1"/>
    <xf numFmtId="0" fontId="1" fillId="11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7" fillId="11" borderId="2" xfId="0" applyNumberFormat="1" applyFont="1" applyFill="1" applyBorder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3" fillId="0" borderId="0" xfId="0" applyFont="1"/>
    <xf numFmtId="0" fontId="0" fillId="0" borderId="0" xfId="0" applyAlignment="1"/>
    <xf numFmtId="0" fontId="0" fillId="0" borderId="0" xfId="0"/>
    <xf numFmtId="0" fontId="5" fillId="12" borderId="0" xfId="1" applyFill="1"/>
    <xf numFmtId="166" fontId="5" fillId="12" borderId="0" xfId="1" applyNumberFormat="1" applyFill="1"/>
    <xf numFmtId="165" fontId="1" fillId="0" borderId="1" xfId="0" applyNumberFormat="1" applyFont="1" applyBorder="1"/>
    <xf numFmtId="0" fontId="0" fillId="7" borderId="0" xfId="0" applyFill="1"/>
    <xf numFmtId="0" fontId="0" fillId="13" borderId="0" xfId="0" applyFill="1" applyAlignment="1"/>
    <xf numFmtId="10" fontId="0" fillId="14" borderId="0" xfId="0" applyNumberFormat="1" applyFill="1" applyAlignment="1"/>
    <xf numFmtId="0" fontId="14" fillId="0" borderId="0" xfId="0" applyFont="1"/>
    <xf numFmtId="0" fontId="0" fillId="8" borderId="1" xfId="0" applyFill="1" applyBorder="1"/>
    <xf numFmtId="166" fontId="0" fillId="8" borderId="1" xfId="0" applyNumberFormat="1" applyFill="1" applyBorder="1"/>
    <xf numFmtId="44" fontId="0" fillId="8" borderId="1" xfId="0" applyNumberFormat="1" applyFill="1" applyBorder="1"/>
    <xf numFmtId="165" fontId="0" fillId="8" borderId="1" xfId="0" applyNumberFormat="1" applyFill="1" applyBorder="1"/>
    <xf numFmtId="0" fontId="0" fillId="4" borderId="1" xfId="0" applyFill="1" applyBorder="1"/>
  </cellXfs>
  <cellStyles count="2">
    <cellStyle name="Énfasis2" xfId="1" builtinId="33"/>
    <cellStyle name="Normal" xfId="0" builtinId="0"/>
  </cellStyles>
  <dxfs count="0"/>
  <tableStyles count="0" defaultTableStyle="TableStyleMedium2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://play-reactor.com/2014/11/05/naruto-se-confirma-la-secuela-de-shippuden-para-primavera-del-2015/" TargetMode="External"/><Relationship Id="rId1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714375</xdr:colOff>
      <xdr:row>2</xdr:row>
      <xdr:rowOff>1</xdr:rowOff>
    </xdr:from>
    <xdr:to>
      <xdr:col>14</xdr:col>
      <xdr:colOff>266700</xdr:colOff>
      <xdr:row>6</xdr:row>
      <xdr:rowOff>171451</xdr:rowOff>
    </xdr:to>
    <xdr:sp macro="[0]!tabla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D4DDD0AF-8FA2-DC34-41D6-97143200383A}"/>
            </a:ext>
          </a:extLst>
        </xdr:cNvPr>
        <xdr:cNvSpPr/>
      </xdr:nvSpPr>
      <xdr:spPr>
        <a:xfrm>
          <a:off x="9124950" y="400051"/>
          <a:ext cx="1838325" cy="971550"/>
        </a:xfrm>
        <a:prstGeom prst="round2Diag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SV" sz="1800" b="1"/>
        </a:p>
        <a:p>
          <a:pPr algn="ctr"/>
          <a:r>
            <a:rPr lang="es-SV" sz="1800" b="1">
              <a:latin typeface="Algerian" panose="04020705040A02060702" pitchFamily="82" charset="0"/>
            </a:rPr>
            <a:t>1) TABLA </a:t>
          </a:r>
        </a:p>
      </xdr:txBody>
    </xdr:sp>
    <xdr:clientData/>
  </xdr:twoCellAnchor>
  <xdr:twoCellAnchor>
    <xdr:from>
      <xdr:col>13</xdr:col>
      <xdr:colOff>295275</xdr:colOff>
      <xdr:row>6</xdr:row>
      <xdr:rowOff>152400</xdr:rowOff>
    </xdr:from>
    <xdr:to>
      <xdr:col>16</xdr:col>
      <xdr:colOff>19050</xdr:colOff>
      <xdr:row>12</xdr:row>
      <xdr:rowOff>19050</xdr:rowOff>
    </xdr:to>
    <xdr:sp macro="[0]!Formatoe1" textlink="">
      <xdr:nvSpPr>
        <xdr:cNvPr id="3" name="Lágrima 2">
          <a:extLst>
            <a:ext uri="{FF2B5EF4-FFF2-40B4-BE49-F238E27FC236}">
              <a16:creationId xmlns:a16="http://schemas.microsoft.com/office/drawing/2014/main" id="{F49439B3-86FC-25AA-E9EB-BB06AAD999FC}"/>
            </a:ext>
          </a:extLst>
        </xdr:cNvPr>
        <xdr:cNvSpPr/>
      </xdr:nvSpPr>
      <xdr:spPr>
        <a:xfrm>
          <a:off x="10229850" y="1352550"/>
          <a:ext cx="2009775" cy="1057275"/>
        </a:xfrm>
        <a:prstGeom prst="teardrop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  <a:p>
          <a:pPr algn="ctr"/>
          <a:r>
            <a:rPr lang="es-SV" sz="1400" b="1">
              <a:solidFill>
                <a:schemeClr val="accent5"/>
              </a:solidFill>
              <a:latin typeface="Algerian" panose="04020705040A02060702" pitchFamily="82" charset="0"/>
            </a:rPr>
            <a:t>2)  BOTON DE FORMATO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1</xdr:row>
      <xdr:rowOff>104774</xdr:rowOff>
    </xdr:from>
    <xdr:to>
      <xdr:col>9</xdr:col>
      <xdr:colOff>219075</xdr:colOff>
      <xdr:row>9</xdr:row>
      <xdr:rowOff>95249</xdr:rowOff>
    </xdr:to>
    <xdr:sp macro="[0]!Number" textlink="">
      <xdr:nvSpPr>
        <xdr:cNvPr id="2" name="Elipse 1">
          <a:extLst>
            <a:ext uri="{FF2B5EF4-FFF2-40B4-BE49-F238E27FC236}">
              <a16:creationId xmlns:a16="http://schemas.microsoft.com/office/drawing/2014/main" id="{756EB4F4-9F7F-EEEB-648B-4031185AA9CC}"/>
            </a:ext>
          </a:extLst>
        </xdr:cNvPr>
        <xdr:cNvSpPr/>
      </xdr:nvSpPr>
      <xdr:spPr>
        <a:xfrm>
          <a:off x="3181350" y="304799"/>
          <a:ext cx="1619250" cy="1590675"/>
        </a:xfrm>
        <a:prstGeom prst="ellipse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baseline="0">
              <a:solidFill>
                <a:srgbClr val="FF0000"/>
              </a:solidFill>
            </a:rPr>
            <a:t>   </a:t>
          </a:r>
          <a:r>
            <a:rPr lang="es-SV" sz="1100" b="1">
              <a:solidFill>
                <a:srgbClr val="FF0000"/>
              </a:solidFill>
            </a:rPr>
            <a:t> 1)  Numero</a:t>
          </a:r>
        </a:p>
      </xdr:txBody>
    </xdr:sp>
    <xdr:clientData/>
  </xdr:twoCellAnchor>
  <xdr:twoCellAnchor>
    <xdr:from>
      <xdr:col>10</xdr:col>
      <xdr:colOff>219075</xdr:colOff>
      <xdr:row>4</xdr:row>
      <xdr:rowOff>28575</xdr:rowOff>
    </xdr:from>
    <xdr:to>
      <xdr:col>12</xdr:col>
      <xdr:colOff>438150</xdr:colOff>
      <xdr:row>10</xdr:row>
      <xdr:rowOff>161925</xdr:rowOff>
    </xdr:to>
    <xdr:sp macro="[0]!formatoe2" textlink="">
      <xdr:nvSpPr>
        <xdr:cNvPr id="3" name="Heptágono 2">
          <a:extLst>
            <a:ext uri="{FF2B5EF4-FFF2-40B4-BE49-F238E27FC236}">
              <a16:creationId xmlns:a16="http://schemas.microsoft.com/office/drawing/2014/main" id="{49698EEE-3825-3189-86E5-872D60035266}"/>
            </a:ext>
          </a:extLst>
        </xdr:cNvPr>
        <xdr:cNvSpPr/>
      </xdr:nvSpPr>
      <xdr:spPr>
        <a:xfrm>
          <a:off x="5562600" y="828675"/>
          <a:ext cx="1743075" cy="1333500"/>
        </a:xfrm>
        <a:prstGeom prst="heptagon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rgbClr val="92D050"/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400" b="1">
            <a:solidFill>
              <a:schemeClr val="accent2"/>
            </a:solidFill>
          </a:endParaRPr>
        </a:p>
        <a:p>
          <a:pPr algn="l"/>
          <a:r>
            <a:rPr lang="es-SV" sz="1400" b="1">
              <a:solidFill>
                <a:schemeClr val="accent2"/>
              </a:solidFill>
            </a:rPr>
            <a:t>     2) Formato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503465</xdr:colOff>
      <xdr:row>2</xdr:row>
      <xdr:rowOff>122464</xdr:rowOff>
    </xdr:from>
    <xdr:to>
      <xdr:col>10</xdr:col>
      <xdr:colOff>95250</xdr:colOff>
      <xdr:row>12</xdr:row>
      <xdr:rowOff>108857</xdr:rowOff>
    </xdr:to>
    <xdr:sp macro="[0]!Formato" textlink="">
      <xdr:nvSpPr>
        <xdr:cNvPr id="2" name="Sol 1">
          <a:extLst>
            <a:ext uri="{FF2B5EF4-FFF2-40B4-BE49-F238E27FC236}">
              <a16:creationId xmlns:a16="http://schemas.microsoft.com/office/drawing/2014/main" id="{6C55E5C5-8921-DFDA-20AC-A69892D05D01}"/>
            </a:ext>
          </a:extLst>
        </xdr:cNvPr>
        <xdr:cNvSpPr/>
      </xdr:nvSpPr>
      <xdr:spPr>
        <a:xfrm>
          <a:off x="7769679" y="503464"/>
          <a:ext cx="2639785" cy="1891393"/>
        </a:xfrm>
        <a:prstGeom prst="sun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200"/>
        </a:p>
        <a:p>
          <a:pPr algn="l"/>
          <a:r>
            <a:rPr lang="es-SV" sz="1200"/>
            <a:t>1) Formato</a:t>
          </a:r>
        </a:p>
      </xdr:txBody>
    </xdr:sp>
    <xdr:clientData/>
  </xdr:twoCellAnchor>
  <xdr:twoCellAnchor>
    <xdr:from>
      <xdr:col>10</xdr:col>
      <xdr:colOff>571500</xdr:colOff>
      <xdr:row>2</xdr:row>
      <xdr:rowOff>149679</xdr:rowOff>
    </xdr:from>
    <xdr:to>
      <xdr:col>13</xdr:col>
      <xdr:colOff>639536</xdr:colOff>
      <xdr:row>13</xdr:row>
      <xdr:rowOff>136071</xdr:rowOff>
    </xdr:to>
    <xdr:sp macro="[0]!iva" textlink="">
      <xdr:nvSpPr>
        <xdr:cNvPr id="3" name="Triángulo isósceles 2">
          <a:extLst>
            <a:ext uri="{FF2B5EF4-FFF2-40B4-BE49-F238E27FC236}">
              <a16:creationId xmlns:a16="http://schemas.microsoft.com/office/drawing/2014/main" id="{28AF9958-5F04-44E8-EB89-6918376135D6}"/>
            </a:ext>
          </a:extLst>
        </xdr:cNvPr>
        <xdr:cNvSpPr/>
      </xdr:nvSpPr>
      <xdr:spPr>
        <a:xfrm>
          <a:off x="10885714" y="530679"/>
          <a:ext cx="2354036" cy="2081892"/>
        </a:xfrm>
        <a:prstGeom prst="triangl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1400"/>
            <a:t>2)  Total  IVA</a:t>
          </a:r>
        </a:p>
      </xdr:txBody>
    </xdr:sp>
    <xdr:clientData/>
  </xdr:twoCellAnchor>
  <xdr:twoCellAnchor>
    <xdr:from>
      <xdr:col>7</xdr:col>
      <xdr:colOff>326572</xdr:colOff>
      <xdr:row>17</xdr:row>
      <xdr:rowOff>163286</xdr:rowOff>
    </xdr:from>
    <xdr:to>
      <xdr:col>10</xdr:col>
      <xdr:colOff>408215</xdr:colOff>
      <xdr:row>25</xdr:row>
      <xdr:rowOff>81643</xdr:rowOff>
    </xdr:to>
    <xdr:sp macro="[0]!sumiva" textlink="">
      <xdr:nvSpPr>
        <xdr:cNvPr id="4" name="Diagrama de flujo: cinta perforada 3">
          <a:extLst>
            <a:ext uri="{FF2B5EF4-FFF2-40B4-BE49-F238E27FC236}">
              <a16:creationId xmlns:a16="http://schemas.microsoft.com/office/drawing/2014/main" id="{E4A396B2-E498-2531-E3EC-15817FA67746}"/>
            </a:ext>
          </a:extLst>
        </xdr:cNvPr>
        <xdr:cNvSpPr/>
      </xdr:nvSpPr>
      <xdr:spPr>
        <a:xfrm>
          <a:off x="8354786" y="3429000"/>
          <a:ext cx="2367643" cy="1442357"/>
        </a:xfrm>
        <a:prstGeom prst="flowChartPunchedTape">
          <a:avLst/>
        </a:prstGeom>
        <a:gradFill flip="none" rotWithShape="1">
          <a:gsLst>
            <a:gs pos="0">
              <a:schemeClr val="accent6">
                <a:tint val="66000"/>
                <a:satMod val="160000"/>
              </a:schemeClr>
            </a:gs>
            <a:gs pos="50000">
              <a:schemeClr val="accent6">
                <a:tint val="44500"/>
                <a:satMod val="160000"/>
              </a:schemeClr>
            </a:gs>
            <a:gs pos="100000">
              <a:schemeClr val="accent6">
                <a:tint val="23500"/>
                <a:satMod val="160000"/>
              </a:scheme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800" b="1">
            <a:solidFill>
              <a:schemeClr val="accent1"/>
            </a:solidFill>
          </a:endParaRPr>
        </a:p>
        <a:p>
          <a:pPr algn="l"/>
          <a:r>
            <a:rPr lang="es-SV" sz="1800" b="1">
              <a:solidFill>
                <a:schemeClr val="accent1"/>
              </a:solidFill>
            </a:rPr>
            <a:t>   3) Suma total</a:t>
          </a:r>
          <a:r>
            <a:rPr lang="es-SV" sz="1800" b="1" baseline="0">
              <a:solidFill>
                <a:schemeClr val="accent1"/>
              </a:solidFill>
            </a:rPr>
            <a:t> IVA</a:t>
          </a:r>
          <a:endParaRPr lang="es-SV" sz="1800" b="1">
            <a:solidFill>
              <a:schemeClr val="accent1"/>
            </a:solidFill>
          </a:endParaRPr>
        </a:p>
      </xdr:txBody>
    </xdr:sp>
    <xdr:clientData/>
  </xdr:twoCellAnchor>
  <xdr:twoCellAnchor>
    <xdr:from>
      <xdr:col>11</xdr:col>
      <xdr:colOff>557893</xdr:colOff>
      <xdr:row>17</xdr:row>
      <xdr:rowOff>122465</xdr:rowOff>
    </xdr:from>
    <xdr:to>
      <xdr:col>15</xdr:col>
      <xdr:colOff>625929</xdr:colOff>
      <xdr:row>27</xdr:row>
      <xdr:rowOff>40822</xdr:rowOff>
    </xdr:to>
    <xdr:sp macro="[0]!sumabcd" textlink="">
      <xdr:nvSpPr>
        <xdr:cNvPr id="5" name="Nube 4">
          <a:extLst>
            <a:ext uri="{FF2B5EF4-FFF2-40B4-BE49-F238E27FC236}">
              <a16:creationId xmlns:a16="http://schemas.microsoft.com/office/drawing/2014/main" id="{DC16F5A5-3EC8-7235-ACC9-23064F05952D}"/>
            </a:ext>
          </a:extLst>
        </xdr:cNvPr>
        <xdr:cNvSpPr/>
      </xdr:nvSpPr>
      <xdr:spPr>
        <a:xfrm>
          <a:off x="11634107" y="3388179"/>
          <a:ext cx="3116036" cy="1823357"/>
        </a:xfrm>
        <a:prstGeom prst="cloud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SV" sz="2400" b="1"/>
        </a:p>
        <a:p>
          <a:pPr algn="ctr"/>
          <a:r>
            <a:rPr lang="es-SV" sz="2400" b="1">
              <a:solidFill>
                <a:srgbClr val="00B0F0"/>
              </a:solidFill>
            </a:rPr>
            <a:t>4) Suma B,C,D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790575</xdr:colOff>
      <xdr:row>6</xdr:row>
      <xdr:rowOff>171450</xdr:rowOff>
    </xdr:from>
    <xdr:to>
      <xdr:col>3</xdr:col>
      <xdr:colOff>762000</xdr:colOff>
      <xdr:row>18</xdr:row>
      <xdr:rowOff>133349</xdr:rowOff>
    </xdr:to>
    <xdr:sp macro="[0]!formatoe4" textlink="">
      <xdr:nvSpPr>
        <xdr:cNvPr id="2" name="Cubo 1">
          <a:extLst>
            <a:ext uri="{FF2B5EF4-FFF2-40B4-BE49-F238E27FC236}">
              <a16:creationId xmlns:a16="http://schemas.microsoft.com/office/drawing/2014/main" id="{72E53374-AA55-369B-9248-163E0B2EFC38}"/>
            </a:ext>
          </a:extLst>
        </xdr:cNvPr>
        <xdr:cNvSpPr/>
      </xdr:nvSpPr>
      <xdr:spPr>
        <a:xfrm>
          <a:off x="2085975" y="1495425"/>
          <a:ext cx="2505075" cy="2266949"/>
        </a:xfrm>
        <a:custGeom>
          <a:avLst/>
          <a:gdLst>
            <a:gd name="connsiteX0" fmla="*/ 0 w 2181225"/>
            <a:gd name="connsiteY0" fmla="*/ 426244 h 1704975"/>
            <a:gd name="connsiteX1" fmla="*/ 1754981 w 2181225"/>
            <a:gd name="connsiteY1" fmla="*/ 426244 h 1704975"/>
            <a:gd name="connsiteX2" fmla="*/ 1754981 w 2181225"/>
            <a:gd name="connsiteY2" fmla="*/ 1704975 h 1704975"/>
            <a:gd name="connsiteX3" fmla="*/ 0 w 2181225"/>
            <a:gd name="connsiteY3" fmla="*/ 1704975 h 1704975"/>
            <a:gd name="connsiteX4" fmla="*/ 0 w 2181225"/>
            <a:gd name="connsiteY4" fmla="*/ 426244 h 1704975"/>
            <a:gd name="connsiteX0" fmla="*/ 1754981 w 2181225"/>
            <a:gd name="connsiteY0" fmla="*/ 426244 h 1704975"/>
            <a:gd name="connsiteX1" fmla="*/ 2181225 w 2181225"/>
            <a:gd name="connsiteY1" fmla="*/ 0 h 1704975"/>
            <a:gd name="connsiteX2" fmla="*/ 2181225 w 2181225"/>
            <a:gd name="connsiteY2" fmla="*/ 1278731 h 1704975"/>
            <a:gd name="connsiteX3" fmla="*/ 1754981 w 2181225"/>
            <a:gd name="connsiteY3" fmla="*/ 1704975 h 1704975"/>
            <a:gd name="connsiteX4" fmla="*/ 1754981 w 2181225"/>
            <a:gd name="connsiteY4" fmla="*/ 426244 h 1704975"/>
            <a:gd name="connsiteX0" fmla="*/ 0 w 2181225"/>
            <a:gd name="connsiteY0" fmla="*/ 426244 h 1704975"/>
            <a:gd name="connsiteX1" fmla="*/ 426244 w 2181225"/>
            <a:gd name="connsiteY1" fmla="*/ 0 h 1704975"/>
            <a:gd name="connsiteX2" fmla="*/ 2181225 w 2181225"/>
            <a:gd name="connsiteY2" fmla="*/ 0 h 1704975"/>
            <a:gd name="connsiteX3" fmla="*/ 1754981 w 2181225"/>
            <a:gd name="connsiteY3" fmla="*/ 426244 h 1704975"/>
            <a:gd name="connsiteX4" fmla="*/ 0 w 2181225"/>
            <a:gd name="connsiteY4" fmla="*/ 426244 h 1704975"/>
            <a:gd name="connsiteX0" fmla="*/ 0 w 2181225"/>
            <a:gd name="connsiteY0" fmla="*/ 426244 h 1704975"/>
            <a:gd name="connsiteX1" fmla="*/ 426244 w 2181225"/>
            <a:gd name="connsiteY1" fmla="*/ 0 h 1704975"/>
            <a:gd name="connsiteX2" fmla="*/ 2181225 w 2181225"/>
            <a:gd name="connsiteY2" fmla="*/ 0 h 1704975"/>
            <a:gd name="connsiteX3" fmla="*/ 2181225 w 2181225"/>
            <a:gd name="connsiteY3" fmla="*/ 1278731 h 1704975"/>
            <a:gd name="connsiteX4" fmla="*/ 1754981 w 2181225"/>
            <a:gd name="connsiteY4" fmla="*/ 1704975 h 1704975"/>
            <a:gd name="connsiteX5" fmla="*/ 0 w 2181225"/>
            <a:gd name="connsiteY5" fmla="*/ 1704975 h 1704975"/>
            <a:gd name="connsiteX6" fmla="*/ 0 w 2181225"/>
            <a:gd name="connsiteY6" fmla="*/ 426244 h 1704975"/>
            <a:gd name="connsiteX7" fmla="*/ 0 w 2181225"/>
            <a:gd name="connsiteY7" fmla="*/ 426244 h 1704975"/>
            <a:gd name="connsiteX8" fmla="*/ 1754981 w 2181225"/>
            <a:gd name="connsiteY8" fmla="*/ 426244 h 1704975"/>
            <a:gd name="connsiteX9" fmla="*/ 2181225 w 2181225"/>
            <a:gd name="connsiteY9" fmla="*/ 0 h 1704975"/>
            <a:gd name="connsiteX10" fmla="*/ 1754981 w 2181225"/>
            <a:gd name="connsiteY10" fmla="*/ 426244 h 1704975"/>
            <a:gd name="connsiteX11" fmla="*/ 1754981 w 2181225"/>
            <a:gd name="connsiteY11" fmla="*/ 1704975 h 1704975"/>
            <a:gd name="connsiteX0" fmla="*/ 0 w 2181225"/>
            <a:gd name="connsiteY0" fmla="*/ 426244 h 1714500"/>
            <a:gd name="connsiteX1" fmla="*/ 1754981 w 2181225"/>
            <a:gd name="connsiteY1" fmla="*/ 426244 h 1714500"/>
            <a:gd name="connsiteX2" fmla="*/ 1754981 w 2181225"/>
            <a:gd name="connsiteY2" fmla="*/ 1704975 h 1714500"/>
            <a:gd name="connsiteX3" fmla="*/ 0 w 2181225"/>
            <a:gd name="connsiteY3" fmla="*/ 1704975 h 1714500"/>
            <a:gd name="connsiteX4" fmla="*/ 0 w 2181225"/>
            <a:gd name="connsiteY4" fmla="*/ 426244 h 1714500"/>
            <a:gd name="connsiteX0" fmla="*/ 1754981 w 2181225"/>
            <a:gd name="connsiteY0" fmla="*/ 426244 h 1714500"/>
            <a:gd name="connsiteX1" fmla="*/ 2181225 w 2181225"/>
            <a:gd name="connsiteY1" fmla="*/ 0 h 1714500"/>
            <a:gd name="connsiteX2" fmla="*/ 2181225 w 2181225"/>
            <a:gd name="connsiteY2" fmla="*/ 1278731 h 1714500"/>
            <a:gd name="connsiteX3" fmla="*/ 1754981 w 2181225"/>
            <a:gd name="connsiteY3" fmla="*/ 1704975 h 1714500"/>
            <a:gd name="connsiteX4" fmla="*/ 1754981 w 2181225"/>
            <a:gd name="connsiteY4" fmla="*/ 426244 h 1714500"/>
            <a:gd name="connsiteX0" fmla="*/ 0 w 2181225"/>
            <a:gd name="connsiteY0" fmla="*/ 426244 h 1714500"/>
            <a:gd name="connsiteX1" fmla="*/ 426244 w 2181225"/>
            <a:gd name="connsiteY1" fmla="*/ 0 h 1714500"/>
            <a:gd name="connsiteX2" fmla="*/ 2181225 w 2181225"/>
            <a:gd name="connsiteY2" fmla="*/ 0 h 1714500"/>
            <a:gd name="connsiteX3" fmla="*/ 1754981 w 2181225"/>
            <a:gd name="connsiteY3" fmla="*/ 426244 h 1714500"/>
            <a:gd name="connsiteX4" fmla="*/ 0 w 2181225"/>
            <a:gd name="connsiteY4" fmla="*/ 426244 h 1714500"/>
            <a:gd name="connsiteX0" fmla="*/ 0 w 2181225"/>
            <a:gd name="connsiteY0" fmla="*/ 426244 h 1714500"/>
            <a:gd name="connsiteX1" fmla="*/ 426244 w 2181225"/>
            <a:gd name="connsiteY1" fmla="*/ 0 h 1714500"/>
            <a:gd name="connsiteX2" fmla="*/ 2181225 w 2181225"/>
            <a:gd name="connsiteY2" fmla="*/ 0 h 1714500"/>
            <a:gd name="connsiteX3" fmla="*/ 2181225 w 2181225"/>
            <a:gd name="connsiteY3" fmla="*/ 1278731 h 1714500"/>
            <a:gd name="connsiteX4" fmla="*/ 1754981 w 2181225"/>
            <a:gd name="connsiteY4" fmla="*/ 1704975 h 1714500"/>
            <a:gd name="connsiteX5" fmla="*/ 0 w 2181225"/>
            <a:gd name="connsiteY5" fmla="*/ 1704975 h 1714500"/>
            <a:gd name="connsiteX6" fmla="*/ 0 w 2181225"/>
            <a:gd name="connsiteY6" fmla="*/ 426244 h 1714500"/>
            <a:gd name="connsiteX7" fmla="*/ 0 w 2181225"/>
            <a:gd name="connsiteY7" fmla="*/ 426244 h 1714500"/>
            <a:gd name="connsiteX8" fmla="*/ 1754981 w 2181225"/>
            <a:gd name="connsiteY8" fmla="*/ 426244 h 1714500"/>
            <a:gd name="connsiteX9" fmla="*/ 2181225 w 2181225"/>
            <a:gd name="connsiteY9" fmla="*/ 0 h 1714500"/>
            <a:gd name="connsiteX10" fmla="*/ 1754981 w 2181225"/>
            <a:gd name="connsiteY10" fmla="*/ 426244 h 1714500"/>
            <a:gd name="connsiteX11" fmla="*/ 1754981 w 2181225"/>
            <a:gd name="connsiteY11" fmla="*/ 1714500 h 1714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2181225" h="1714500" stroke="0" extrusionOk="0">
              <a:moveTo>
                <a:pt x="0" y="426244"/>
              </a:moveTo>
              <a:lnTo>
                <a:pt x="1754981" y="426244"/>
              </a:lnTo>
              <a:lnTo>
                <a:pt x="1754981" y="1704975"/>
              </a:lnTo>
              <a:lnTo>
                <a:pt x="0" y="1704975"/>
              </a:lnTo>
              <a:lnTo>
                <a:pt x="0" y="426244"/>
              </a:lnTo>
              <a:close/>
            </a:path>
            <a:path w="2181225" h="1714500" fill="darkenLess" stroke="0" extrusionOk="0">
              <a:moveTo>
                <a:pt x="1754981" y="426244"/>
              </a:moveTo>
              <a:lnTo>
                <a:pt x="2181225" y="0"/>
              </a:lnTo>
              <a:lnTo>
                <a:pt x="2181225" y="1278731"/>
              </a:lnTo>
              <a:lnTo>
                <a:pt x="1754981" y="1704975"/>
              </a:lnTo>
              <a:lnTo>
                <a:pt x="1754981" y="426244"/>
              </a:lnTo>
              <a:close/>
            </a:path>
            <a:path w="2181225" h="1714500" fill="lightenLess" stroke="0" extrusionOk="0">
              <a:moveTo>
                <a:pt x="0" y="426244"/>
              </a:moveTo>
              <a:lnTo>
                <a:pt x="426244" y="0"/>
              </a:lnTo>
              <a:lnTo>
                <a:pt x="2181225" y="0"/>
              </a:lnTo>
              <a:lnTo>
                <a:pt x="1754981" y="426244"/>
              </a:lnTo>
              <a:lnTo>
                <a:pt x="0" y="426244"/>
              </a:lnTo>
              <a:close/>
            </a:path>
            <a:path w="2181225" h="1714500" fill="none" extrusionOk="0">
              <a:moveTo>
                <a:pt x="0" y="426244"/>
              </a:moveTo>
              <a:lnTo>
                <a:pt x="426244" y="0"/>
              </a:lnTo>
              <a:lnTo>
                <a:pt x="2181225" y="0"/>
              </a:lnTo>
              <a:lnTo>
                <a:pt x="2181225" y="1278731"/>
              </a:lnTo>
              <a:lnTo>
                <a:pt x="1754981" y="1704975"/>
              </a:lnTo>
              <a:lnTo>
                <a:pt x="0" y="1704975"/>
              </a:lnTo>
              <a:lnTo>
                <a:pt x="0" y="426244"/>
              </a:lnTo>
              <a:close/>
              <a:moveTo>
                <a:pt x="0" y="426244"/>
              </a:moveTo>
              <a:lnTo>
                <a:pt x="1754981" y="426244"/>
              </a:lnTo>
              <a:lnTo>
                <a:pt x="2181225" y="0"/>
              </a:lnTo>
              <a:moveTo>
                <a:pt x="1754981" y="426244"/>
              </a:moveTo>
              <a:lnTo>
                <a:pt x="1754981" y="1714500"/>
              </a:lnTo>
            </a:path>
          </a:pathLst>
        </a:cu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t"/>
        <a:lstStyle/>
        <a:p>
          <a:pPr algn="l"/>
          <a:r>
            <a:rPr lang="es-SV" sz="1100" b="1">
              <a:ln>
                <a:noFill/>
              </a:ln>
              <a:solidFill>
                <a:srgbClr val="66FFFF"/>
              </a:solidFill>
            </a:rPr>
            <a:t>  MACRO DE FORMATO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346364</xdr:colOff>
      <xdr:row>17</xdr:row>
      <xdr:rowOff>86591</xdr:rowOff>
    </xdr:from>
    <xdr:to>
      <xdr:col>17</xdr:col>
      <xdr:colOff>277091</xdr:colOff>
      <xdr:row>26</xdr:row>
      <xdr:rowOff>0</xdr:rowOff>
    </xdr:to>
    <xdr:sp macro="[0]!Sumariadetodo" textlink="">
      <xdr:nvSpPr>
        <xdr:cNvPr id="4" name="Diagrama de flujo: disco magnético 3">
          <a:extLst>
            <a:ext uri="{FF2B5EF4-FFF2-40B4-BE49-F238E27FC236}">
              <a16:creationId xmlns:a16="http://schemas.microsoft.com/office/drawing/2014/main" id="{0E369659-86D3-1B63-0617-16BBD0575486}"/>
            </a:ext>
          </a:extLst>
        </xdr:cNvPr>
        <xdr:cNvSpPr/>
      </xdr:nvSpPr>
      <xdr:spPr>
        <a:xfrm>
          <a:off x="16157864" y="3584864"/>
          <a:ext cx="2978727" cy="1627909"/>
        </a:xfrm>
        <a:prstGeom prst="flowChartMagneticDisk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3600" b="1">
              <a:solidFill>
                <a:srgbClr val="00B0F0"/>
              </a:solidFill>
              <a:latin typeface="Algerian" panose="04020705040A02060702" pitchFamily="82" charset="0"/>
            </a:rPr>
            <a:t>TOTAL</a:t>
          </a:r>
          <a:r>
            <a:rPr lang="es-SV" sz="1100"/>
            <a:t> </a:t>
          </a:r>
        </a:p>
      </xdr:txBody>
    </xdr:sp>
    <xdr:clientData/>
  </xdr:twoCellAnchor>
  <xdr:twoCellAnchor>
    <xdr:from>
      <xdr:col>10</xdr:col>
      <xdr:colOff>346365</xdr:colOff>
      <xdr:row>9</xdr:row>
      <xdr:rowOff>103909</xdr:rowOff>
    </xdr:from>
    <xdr:to>
      <xdr:col>13</xdr:col>
      <xdr:colOff>588819</xdr:colOff>
      <xdr:row>17</xdr:row>
      <xdr:rowOff>121227</xdr:rowOff>
    </xdr:to>
    <xdr:sp macro="[0]!ttlivae5" textlink="">
      <xdr:nvSpPr>
        <xdr:cNvPr id="5" name="Diagrama de flujo: almacenamiento de acceso directo 4">
          <a:extLst>
            <a:ext uri="{FF2B5EF4-FFF2-40B4-BE49-F238E27FC236}">
              <a16:creationId xmlns:a16="http://schemas.microsoft.com/office/drawing/2014/main" id="{1CB633B3-288B-CA9F-FCFC-0526F1FE7A8D}"/>
            </a:ext>
          </a:extLst>
        </xdr:cNvPr>
        <xdr:cNvSpPr/>
      </xdr:nvSpPr>
      <xdr:spPr>
        <a:xfrm>
          <a:off x="13871865" y="2078182"/>
          <a:ext cx="2528454" cy="1541318"/>
        </a:xfrm>
        <a:prstGeom prst="flowChartMagneticDrum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s-SV" sz="2000" b="1">
            <a:solidFill>
              <a:schemeClr val="accent4"/>
            </a:solidFill>
            <a:latin typeface="Algerian" panose="04020705040A02060702" pitchFamily="82" charset="0"/>
          </a:endParaRPr>
        </a:p>
        <a:p>
          <a:pPr algn="ctr"/>
          <a:r>
            <a:rPr lang="es-SV" sz="2000" b="1">
              <a:solidFill>
                <a:schemeClr val="accent4"/>
              </a:solidFill>
              <a:latin typeface="Algerian" panose="04020705040A02060702" pitchFamily="82" charset="0"/>
            </a:rPr>
            <a:t>   TOTAL        CON IVA</a:t>
          </a:r>
        </a:p>
      </xdr:txBody>
    </xdr:sp>
    <xdr:clientData/>
  </xdr:twoCellAnchor>
  <xdr:twoCellAnchor>
    <xdr:from>
      <xdr:col>7</xdr:col>
      <xdr:colOff>831273</xdr:colOff>
      <xdr:row>1</xdr:row>
      <xdr:rowOff>0</xdr:rowOff>
    </xdr:from>
    <xdr:to>
      <xdr:col>11</xdr:col>
      <xdr:colOff>138545</xdr:colOff>
      <xdr:row>9</xdr:row>
      <xdr:rowOff>155863</xdr:rowOff>
    </xdr:to>
    <xdr:sp macro="[0]!ttle5" textlink="">
      <xdr:nvSpPr>
        <xdr:cNvPr id="6" name="Diagrama de flujo: multidocumento 5">
          <a:extLst>
            <a:ext uri="{FF2B5EF4-FFF2-40B4-BE49-F238E27FC236}">
              <a16:creationId xmlns:a16="http://schemas.microsoft.com/office/drawing/2014/main" id="{CB15146B-FE58-76AF-B8AC-4CBC5A0F2F92}"/>
            </a:ext>
          </a:extLst>
        </xdr:cNvPr>
        <xdr:cNvSpPr/>
      </xdr:nvSpPr>
      <xdr:spPr>
        <a:xfrm>
          <a:off x="11239500" y="450273"/>
          <a:ext cx="3186545" cy="1679863"/>
        </a:xfrm>
        <a:prstGeom prst="flowChartMultidocumen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2800" b="1">
              <a:solidFill>
                <a:schemeClr val="accent4"/>
              </a:solidFill>
              <a:latin typeface="Algerian" panose="04020705040A02060702" pitchFamily="82" charset="0"/>
            </a:rPr>
            <a:t>TOTAL SIN IVA</a:t>
          </a:r>
        </a:p>
      </xdr:txBody>
    </xdr:sp>
    <xdr:clientData/>
  </xdr:twoCellAnchor>
  <xdr:twoCellAnchor>
    <xdr:from>
      <xdr:col>13</xdr:col>
      <xdr:colOff>485588</xdr:colOff>
      <xdr:row>1</xdr:row>
      <xdr:rowOff>56030</xdr:rowOff>
    </xdr:from>
    <xdr:to>
      <xdr:col>24</xdr:col>
      <xdr:colOff>168089</xdr:colOff>
      <xdr:row>10</xdr:row>
      <xdr:rowOff>74706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769DF59-6B72-95F4-EB0E-01EE26D0FDA3}"/>
            </a:ext>
          </a:extLst>
        </xdr:cNvPr>
        <xdr:cNvSpPr txBox="1"/>
      </xdr:nvSpPr>
      <xdr:spPr>
        <a:xfrm>
          <a:off x="16323235" y="504265"/>
          <a:ext cx="8105589" cy="16995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SV" sz="1400"/>
            <a:t>En este registro de suministo de pesca funcionamiento de las macros creada es calcular el precio sin IVA mediante la cantidad por el precio , otra macro nos ayuda calcular el precio con IVA que este se calcula mediante el precio por el IVA que en este caso es el 15% luego por la cantidad , y por ultimo tenemos el total que es decir suma todas las cantidades, todo los precios , todos los precios sin IVA y por ultimo todos los precios con IVA y asi es el funcionamiento , el proposito es crear esos precios de los suministos de pesca y en uno calcular con IVA y sin IVA y luego calcular el total de todas esas cantidades  y otro proposito es facilitar el trabajo al personal y tambien a nosotros nos ayuda para practicar lo aprendido.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P17" sqref="P17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24" t="s">
        <v>0</v>
      </c>
      <c r="B1" s="24">
        <v>1</v>
      </c>
      <c r="C1" s="24">
        <v>2</v>
      </c>
      <c r="D1" s="24">
        <v>3</v>
      </c>
      <c r="E1" s="24">
        <v>4</v>
      </c>
      <c r="F1" s="24">
        <v>5</v>
      </c>
      <c r="G1" s="24">
        <v>6</v>
      </c>
      <c r="H1" s="24">
        <v>7</v>
      </c>
      <c r="I1" s="24">
        <v>8</v>
      </c>
      <c r="J1" s="24">
        <v>9</v>
      </c>
      <c r="K1" s="24">
        <v>10</v>
      </c>
    </row>
    <row r="2" spans="1:11" ht="15.75" thickBot="1" x14ac:dyDescent="0.3">
      <c r="A2" s="24">
        <v>1</v>
      </c>
      <c r="B2" s="2">
        <f>A2*$B$1</f>
        <v>1</v>
      </c>
      <c r="C2" s="2">
        <f>A2*$C$1</f>
        <v>2</v>
      </c>
      <c r="D2" s="2">
        <f>A2*$D$1</f>
        <v>3</v>
      </c>
      <c r="E2" s="2">
        <f>A2*$E$1</f>
        <v>4</v>
      </c>
      <c r="F2" s="2">
        <f>A2*$F$1</f>
        <v>5</v>
      </c>
      <c r="G2" s="2">
        <f>A2*$G$1</f>
        <v>6</v>
      </c>
      <c r="H2" s="2">
        <f>A2*$H$1</f>
        <v>7</v>
      </c>
      <c r="I2" s="2">
        <f>A2*$I$1</f>
        <v>8</v>
      </c>
      <c r="J2" s="2">
        <f>A2*$J$1</f>
        <v>9</v>
      </c>
      <c r="K2" s="2">
        <f>A2*$K$1</f>
        <v>10</v>
      </c>
    </row>
    <row r="3" spans="1:11" ht="15.75" thickBot="1" x14ac:dyDescent="0.3">
      <c r="A3" s="24">
        <v>2</v>
      </c>
      <c r="B3" s="2">
        <f t="shared" ref="B3:B11" si="0">A3*$B$1</f>
        <v>2</v>
      </c>
      <c r="C3" s="2">
        <f t="shared" ref="C3:C11" si="1">A3*$C$1</f>
        <v>4</v>
      </c>
      <c r="D3" s="2">
        <f t="shared" ref="D3:D10" si="2">A3*$D$1</f>
        <v>6</v>
      </c>
      <c r="E3" s="2">
        <f t="shared" ref="E3:E11" si="3">A3*$E$1</f>
        <v>8</v>
      </c>
      <c r="F3" s="2">
        <f t="shared" ref="F3:F11" si="4">A3*$F$1</f>
        <v>10</v>
      </c>
      <c r="G3" s="2">
        <f t="shared" ref="G3:G11" si="5">A3*$G$1</f>
        <v>12</v>
      </c>
      <c r="H3" s="2">
        <f t="shared" ref="H3:H11" si="6">A3*$H$1</f>
        <v>14</v>
      </c>
      <c r="I3" s="2">
        <f t="shared" ref="I3:I11" si="7">A3*$I$1</f>
        <v>16</v>
      </c>
      <c r="J3" s="2">
        <f t="shared" ref="J3:J11" si="8">A3*$J$1</f>
        <v>18</v>
      </c>
      <c r="K3" s="2">
        <f t="shared" ref="K3:K11" si="9">A3*$K$1</f>
        <v>20</v>
      </c>
    </row>
    <row r="4" spans="1:11" ht="15.75" thickBot="1" x14ac:dyDescent="0.3">
      <c r="A4" s="24">
        <v>3</v>
      </c>
      <c r="B4" s="2">
        <f t="shared" si="0"/>
        <v>3</v>
      </c>
      <c r="C4" s="2">
        <f t="shared" si="1"/>
        <v>6</v>
      </c>
      <c r="D4" s="2">
        <f t="shared" si="2"/>
        <v>9</v>
      </c>
      <c r="E4" s="2">
        <f t="shared" si="3"/>
        <v>12</v>
      </c>
      <c r="F4" s="2">
        <f t="shared" si="4"/>
        <v>15</v>
      </c>
      <c r="G4" s="2">
        <f t="shared" si="5"/>
        <v>18</v>
      </c>
      <c r="H4" s="2">
        <f t="shared" si="6"/>
        <v>21</v>
      </c>
      <c r="I4" s="2">
        <f t="shared" si="7"/>
        <v>24</v>
      </c>
      <c r="J4" s="2">
        <f t="shared" si="8"/>
        <v>27</v>
      </c>
      <c r="K4" s="2">
        <f t="shared" si="9"/>
        <v>30</v>
      </c>
    </row>
    <row r="5" spans="1:11" ht="15.75" thickBot="1" x14ac:dyDescent="0.3">
      <c r="A5" s="24">
        <v>4</v>
      </c>
      <c r="B5" s="2">
        <f t="shared" si="0"/>
        <v>4</v>
      </c>
      <c r="C5" s="2">
        <f t="shared" si="1"/>
        <v>8</v>
      </c>
      <c r="D5" s="2">
        <f t="shared" si="2"/>
        <v>12</v>
      </c>
      <c r="E5" s="2">
        <f t="shared" si="3"/>
        <v>16</v>
      </c>
      <c r="F5" s="2">
        <f t="shared" si="4"/>
        <v>20</v>
      </c>
      <c r="G5" s="2">
        <f t="shared" si="5"/>
        <v>24</v>
      </c>
      <c r="H5" s="2">
        <f t="shared" si="6"/>
        <v>28</v>
      </c>
      <c r="I5" s="2">
        <f t="shared" si="7"/>
        <v>32</v>
      </c>
      <c r="J5" s="2">
        <f t="shared" si="8"/>
        <v>36</v>
      </c>
      <c r="K5" s="2">
        <f t="shared" si="9"/>
        <v>40</v>
      </c>
    </row>
    <row r="6" spans="1:11" ht="15.75" thickBot="1" x14ac:dyDescent="0.3">
      <c r="A6" s="24">
        <v>5</v>
      </c>
      <c r="B6" s="2">
        <f t="shared" si="0"/>
        <v>5</v>
      </c>
      <c r="C6" s="2">
        <f t="shared" si="1"/>
        <v>10</v>
      </c>
      <c r="D6" s="2">
        <f t="shared" si="2"/>
        <v>15</v>
      </c>
      <c r="E6" s="2">
        <f t="shared" si="3"/>
        <v>20</v>
      </c>
      <c r="F6" s="2">
        <f t="shared" si="4"/>
        <v>25</v>
      </c>
      <c r="G6" s="2">
        <f t="shared" si="5"/>
        <v>30</v>
      </c>
      <c r="H6" s="2">
        <f t="shared" si="6"/>
        <v>35</v>
      </c>
      <c r="I6" s="2">
        <f t="shared" si="7"/>
        <v>40</v>
      </c>
      <c r="J6" s="2">
        <f t="shared" si="8"/>
        <v>45</v>
      </c>
      <c r="K6" s="2">
        <f t="shared" si="9"/>
        <v>50</v>
      </c>
    </row>
    <row r="7" spans="1:11" ht="15.75" thickBot="1" x14ac:dyDescent="0.3">
      <c r="A7" s="24">
        <v>6</v>
      </c>
      <c r="B7" s="2">
        <f t="shared" si="0"/>
        <v>6</v>
      </c>
      <c r="C7" s="2">
        <f t="shared" si="1"/>
        <v>12</v>
      </c>
      <c r="D7" s="2">
        <f t="shared" si="2"/>
        <v>18</v>
      </c>
      <c r="E7" s="2">
        <f t="shared" si="3"/>
        <v>24</v>
      </c>
      <c r="F7" s="2">
        <f t="shared" si="4"/>
        <v>30</v>
      </c>
      <c r="G7" s="2">
        <f t="shared" si="5"/>
        <v>36</v>
      </c>
      <c r="H7" s="2">
        <f t="shared" si="6"/>
        <v>42</v>
      </c>
      <c r="I7" s="2">
        <f t="shared" si="7"/>
        <v>48</v>
      </c>
      <c r="J7" s="2">
        <f t="shared" si="8"/>
        <v>54</v>
      </c>
      <c r="K7" s="2">
        <f t="shared" si="9"/>
        <v>60</v>
      </c>
    </row>
    <row r="8" spans="1:11" ht="15.75" thickBot="1" x14ac:dyDescent="0.3">
      <c r="A8" s="24">
        <v>7</v>
      </c>
      <c r="B8" s="2">
        <f t="shared" si="0"/>
        <v>7</v>
      </c>
      <c r="C8" s="2">
        <f t="shared" si="1"/>
        <v>14</v>
      </c>
      <c r="D8" s="2">
        <f t="shared" si="2"/>
        <v>21</v>
      </c>
      <c r="E8" s="2">
        <f t="shared" si="3"/>
        <v>28</v>
      </c>
      <c r="F8" s="2">
        <f t="shared" si="4"/>
        <v>35</v>
      </c>
      <c r="G8" s="2">
        <f t="shared" si="5"/>
        <v>42</v>
      </c>
      <c r="H8" s="2">
        <f t="shared" si="6"/>
        <v>49</v>
      </c>
      <c r="I8" s="2">
        <f t="shared" si="7"/>
        <v>56</v>
      </c>
      <c r="J8" s="2">
        <f t="shared" si="8"/>
        <v>63</v>
      </c>
      <c r="K8" s="2">
        <f t="shared" si="9"/>
        <v>70</v>
      </c>
    </row>
    <row r="9" spans="1:11" ht="15.75" thickBot="1" x14ac:dyDescent="0.3">
      <c r="A9" s="24">
        <v>8</v>
      </c>
      <c r="B9" s="2">
        <f t="shared" si="0"/>
        <v>8</v>
      </c>
      <c r="C9" s="2">
        <f t="shared" si="1"/>
        <v>16</v>
      </c>
      <c r="D9" s="2">
        <f t="shared" si="2"/>
        <v>24</v>
      </c>
      <c r="E9" s="2">
        <f t="shared" si="3"/>
        <v>32</v>
      </c>
      <c r="F9" s="2">
        <f t="shared" si="4"/>
        <v>40</v>
      </c>
      <c r="G9" s="2">
        <f t="shared" si="5"/>
        <v>48</v>
      </c>
      <c r="H9" s="2">
        <f t="shared" si="6"/>
        <v>56</v>
      </c>
      <c r="I9" s="2">
        <f t="shared" si="7"/>
        <v>64</v>
      </c>
      <c r="J9" s="2">
        <f t="shared" si="8"/>
        <v>72</v>
      </c>
      <c r="K9" s="2">
        <f t="shared" si="9"/>
        <v>80</v>
      </c>
    </row>
    <row r="10" spans="1:11" ht="15.75" thickBot="1" x14ac:dyDescent="0.3">
      <c r="A10" s="24">
        <v>9</v>
      </c>
      <c r="B10" s="2">
        <f t="shared" si="0"/>
        <v>9</v>
      </c>
      <c r="C10" s="2">
        <f t="shared" si="1"/>
        <v>18</v>
      </c>
      <c r="D10" s="2">
        <f t="shared" si="2"/>
        <v>27</v>
      </c>
      <c r="E10" s="2">
        <f t="shared" si="3"/>
        <v>36</v>
      </c>
      <c r="F10" s="2">
        <f t="shared" si="4"/>
        <v>45</v>
      </c>
      <c r="G10" s="2">
        <f t="shared" si="5"/>
        <v>54</v>
      </c>
      <c r="H10" s="2">
        <f t="shared" si="6"/>
        <v>63</v>
      </c>
      <c r="I10" s="2">
        <f t="shared" si="7"/>
        <v>72</v>
      </c>
      <c r="J10" s="2">
        <f t="shared" si="8"/>
        <v>81</v>
      </c>
      <c r="K10" s="2">
        <f t="shared" si="9"/>
        <v>90</v>
      </c>
    </row>
    <row r="11" spans="1:11" ht="15.75" thickBot="1" x14ac:dyDescent="0.3">
      <c r="A11" s="24">
        <v>10</v>
      </c>
      <c r="B11" s="2">
        <f t="shared" si="0"/>
        <v>10</v>
      </c>
      <c r="C11" s="2">
        <f t="shared" si="1"/>
        <v>20</v>
      </c>
      <c r="D11" s="2">
        <f>A11*$D$1</f>
        <v>30</v>
      </c>
      <c r="E11" s="2">
        <f t="shared" si="3"/>
        <v>40</v>
      </c>
      <c r="F11" s="2">
        <f t="shared" si="4"/>
        <v>50</v>
      </c>
      <c r="G11" s="2">
        <f t="shared" si="5"/>
        <v>60</v>
      </c>
      <c r="H11" s="2">
        <f t="shared" si="6"/>
        <v>70</v>
      </c>
      <c r="I11" s="2">
        <f t="shared" si="7"/>
        <v>80</v>
      </c>
      <c r="J11" s="2">
        <f t="shared" si="8"/>
        <v>90</v>
      </c>
      <c r="K11" s="2">
        <f t="shared" si="9"/>
        <v>100</v>
      </c>
    </row>
    <row r="13" spans="1:11" x14ac:dyDescent="0.25">
      <c r="A13" s="12" t="s">
        <v>1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</row>
    <row r="14" spans="1:11" x14ac:dyDescent="0.25">
      <c r="A14" s="3" t="s">
        <v>2</v>
      </c>
      <c r="B14" s="3"/>
      <c r="C14" s="3"/>
      <c r="D14" s="3"/>
      <c r="E14" s="3"/>
      <c r="F14" s="3"/>
      <c r="G14" s="3"/>
      <c r="H14" s="3"/>
      <c r="I14" s="3"/>
      <c r="J14" s="3"/>
      <c r="K14" s="3"/>
    </row>
  </sheetData>
  <mergeCells count="1">
    <mergeCell ref="A13:K1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Hoja2"/>
  <dimension ref="A1:J15"/>
  <sheetViews>
    <sheetView zoomScaleNormal="100" workbookViewId="0">
      <selection activeCell="G8" sqref="G8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5" customWidth="1"/>
  </cols>
  <sheetData>
    <row r="1" spans="1:10" ht="15.75" x14ac:dyDescent="0.25">
      <c r="A1" s="19">
        <f>E12</f>
        <v>6</v>
      </c>
      <c r="B1" s="19" t="s">
        <v>3</v>
      </c>
      <c r="C1" s="19">
        <v>1</v>
      </c>
      <c r="D1" s="19" t="s">
        <v>5</v>
      </c>
      <c r="E1" s="19">
        <f>A1*C1</f>
        <v>6</v>
      </c>
    </row>
    <row r="2" spans="1:10" ht="15.75" x14ac:dyDescent="0.25">
      <c r="A2" s="19">
        <f>E12</f>
        <v>6</v>
      </c>
      <c r="B2" s="19" t="s">
        <v>3</v>
      </c>
      <c r="C2" s="19">
        <v>2</v>
      </c>
      <c r="D2" s="19" t="s">
        <v>5</v>
      </c>
      <c r="E2" s="19">
        <f t="shared" ref="E2:E10" si="0">A2*C2</f>
        <v>12</v>
      </c>
    </row>
    <row r="3" spans="1:10" ht="15.75" x14ac:dyDescent="0.25">
      <c r="A3" s="19">
        <f>E12</f>
        <v>6</v>
      </c>
      <c r="B3" s="19" t="s">
        <v>3</v>
      </c>
      <c r="C3" s="19">
        <v>3</v>
      </c>
      <c r="D3" s="19" t="s">
        <v>5</v>
      </c>
      <c r="E3" s="19">
        <f>A3*C3</f>
        <v>18</v>
      </c>
      <c r="G3" s="21"/>
      <c r="H3" s="22"/>
    </row>
    <row r="4" spans="1:10" ht="15.75" x14ac:dyDescent="0.25">
      <c r="A4" s="19">
        <f>E12</f>
        <v>6</v>
      </c>
      <c r="B4" s="19" t="s">
        <v>3</v>
      </c>
      <c r="C4" s="19">
        <v>4</v>
      </c>
      <c r="D4" s="19" t="s">
        <v>5</v>
      </c>
      <c r="E4" s="19">
        <f t="shared" si="0"/>
        <v>24</v>
      </c>
    </row>
    <row r="5" spans="1:10" ht="15.75" x14ac:dyDescent="0.25">
      <c r="A5" s="19">
        <f>E12</f>
        <v>6</v>
      </c>
      <c r="B5" s="19" t="s">
        <v>3</v>
      </c>
      <c r="C5" s="19">
        <v>5</v>
      </c>
      <c r="D5" s="19" t="s">
        <v>5</v>
      </c>
      <c r="E5" s="19">
        <f t="shared" si="0"/>
        <v>30</v>
      </c>
    </row>
    <row r="6" spans="1:10" ht="15.75" x14ac:dyDescent="0.25">
      <c r="A6" s="19">
        <f>E12</f>
        <v>6</v>
      </c>
      <c r="B6" s="19" t="s">
        <v>3</v>
      </c>
      <c r="C6" s="19">
        <v>6</v>
      </c>
      <c r="D6" s="19" t="s">
        <v>5</v>
      </c>
      <c r="E6" s="19">
        <f t="shared" si="0"/>
        <v>36</v>
      </c>
    </row>
    <row r="7" spans="1:10" ht="15.75" x14ac:dyDescent="0.25">
      <c r="A7" s="19">
        <f>E12</f>
        <v>6</v>
      </c>
      <c r="B7" s="19" t="s">
        <v>3</v>
      </c>
      <c r="C7" s="19">
        <v>7</v>
      </c>
      <c r="D7" s="19" t="s">
        <v>5</v>
      </c>
      <c r="E7" s="19">
        <f t="shared" si="0"/>
        <v>42</v>
      </c>
    </row>
    <row r="8" spans="1:10" ht="15.75" x14ac:dyDescent="0.25">
      <c r="A8" s="19">
        <f>E12</f>
        <v>6</v>
      </c>
      <c r="B8" s="19" t="s">
        <v>3</v>
      </c>
      <c r="C8" s="19">
        <v>8</v>
      </c>
      <c r="D8" s="19" t="s">
        <v>5</v>
      </c>
      <c r="E8" s="19">
        <f t="shared" si="0"/>
        <v>48</v>
      </c>
    </row>
    <row r="9" spans="1:10" ht="15.75" x14ac:dyDescent="0.25">
      <c r="A9" s="19">
        <f>E12</f>
        <v>6</v>
      </c>
      <c r="B9" s="19" t="s">
        <v>3</v>
      </c>
      <c r="C9" s="19">
        <v>9</v>
      </c>
      <c r="D9" s="19" t="s">
        <v>5</v>
      </c>
      <c r="E9" s="19">
        <f>A9*C9</f>
        <v>54</v>
      </c>
    </row>
    <row r="10" spans="1:10" ht="15.75" x14ac:dyDescent="0.25">
      <c r="A10" s="19">
        <f>E12</f>
        <v>6</v>
      </c>
      <c r="B10" s="19" t="s">
        <v>3</v>
      </c>
      <c r="C10" s="19">
        <v>10</v>
      </c>
      <c r="D10" s="19" t="s">
        <v>5</v>
      </c>
      <c r="E10" s="19">
        <f>A10*C10</f>
        <v>60</v>
      </c>
      <c r="J10" s="21"/>
    </row>
    <row r="11" spans="1:10" ht="15.75" thickBot="1" x14ac:dyDescent="0.3">
      <c r="D11" s="4"/>
    </row>
    <row r="12" spans="1:10" ht="16.5" thickBot="1" x14ac:dyDescent="0.3">
      <c r="D12" s="6" t="s">
        <v>4</v>
      </c>
      <c r="E12" s="26">
        <v>6</v>
      </c>
    </row>
    <row r="14" spans="1:10" x14ac:dyDescent="0.25">
      <c r="A14" t="s">
        <v>6</v>
      </c>
    </row>
    <row r="15" spans="1:10" x14ac:dyDescent="0.25">
      <c r="A15" t="s">
        <v>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Hoja3"/>
  <dimension ref="A1:J25"/>
  <sheetViews>
    <sheetView topLeftCell="A2" zoomScale="85" zoomScaleNormal="85" workbookViewId="0">
      <selection activeCell="A2" sqref="A2"/>
    </sheetView>
  </sheetViews>
  <sheetFormatPr baseColWidth="10" defaultRowHeight="15" x14ac:dyDescent="0.25"/>
  <cols>
    <col min="1" max="1" width="33" customWidth="1"/>
    <col min="2" max="4" width="16.85546875" customWidth="1"/>
    <col min="5" max="5" width="20.5703125" customWidth="1"/>
  </cols>
  <sheetData>
    <row r="1" spans="1:10" x14ac:dyDescent="0.25">
      <c r="A1" s="13" t="s">
        <v>8</v>
      </c>
      <c r="B1" s="14" t="s">
        <v>25</v>
      </c>
      <c r="C1" s="15"/>
      <c r="D1" s="15"/>
    </row>
    <row r="2" spans="1:10" x14ac:dyDescent="0.25">
      <c r="A2" s="17" t="s">
        <v>9</v>
      </c>
      <c r="B2" s="17" t="s">
        <v>34</v>
      </c>
      <c r="C2" s="17" t="s">
        <v>35</v>
      </c>
      <c r="D2" s="17" t="s">
        <v>10</v>
      </c>
      <c r="E2" s="17" t="s">
        <v>27</v>
      </c>
    </row>
    <row r="3" spans="1:10" x14ac:dyDescent="0.25">
      <c r="A3" s="17" t="s">
        <v>11</v>
      </c>
      <c r="B3" s="17">
        <v>500</v>
      </c>
      <c r="C3" s="17">
        <v>0.15</v>
      </c>
      <c r="D3" s="17">
        <f t="shared" ref="D3:D15" si="0">B3*C3</f>
        <v>75</v>
      </c>
      <c r="E3" s="17">
        <f>C3*$B$19*B3</f>
        <v>9.75</v>
      </c>
      <c r="F3" s="23"/>
    </row>
    <row r="4" spans="1:10" x14ac:dyDescent="0.25">
      <c r="A4" s="17" t="s">
        <v>12</v>
      </c>
      <c r="B4" s="17">
        <v>2347</v>
      </c>
      <c r="C4" s="17">
        <v>1.8</v>
      </c>
      <c r="D4" s="17">
        <f t="shared" si="0"/>
        <v>4224.6000000000004</v>
      </c>
      <c r="E4" s="17">
        <f t="shared" ref="E4:E15" si="1">C4*$B$19*B4</f>
        <v>549.19799999999998</v>
      </c>
    </row>
    <row r="5" spans="1:10" x14ac:dyDescent="0.25">
      <c r="A5" s="17" t="s">
        <v>13</v>
      </c>
      <c r="B5" s="17">
        <v>260</v>
      </c>
      <c r="C5" s="17">
        <v>1.9</v>
      </c>
      <c r="D5" s="17">
        <f t="shared" si="0"/>
        <v>494</v>
      </c>
      <c r="E5" s="17">
        <f t="shared" si="1"/>
        <v>64.22</v>
      </c>
    </row>
    <row r="6" spans="1:10" x14ac:dyDescent="0.25">
      <c r="A6" s="17" t="s">
        <v>14</v>
      </c>
      <c r="B6" s="17">
        <v>230</v>
      </c>
      <c r="C6" s="17">
        <v>1.7</v>
      </c>
      <c r="D6" s="17">
        <f t="shared" si="0"/>
        <v>391</v>
      </c>
      <c r="E6" s="17">
        <f t="shared" si="1"/>
        <v>50.83</v>
      </c>
    </row>
    <row r="7" spans="1:10" x14ac:dyDescent="0.25">
      <c r="A7" s="17" t="s">
        <v>15</v>
      </c>
      <c r="B7" s="17">
        <v>700</v>
      </c>
      <c r="C7" s="17">
        <v>6</v>
      </c>
      <c r="D7" s="17">
        <f t="shared" si="0"/>
        <v>4200</v>
      </c>
      <c r="E7" s="17">
        <f t="shared" si="1"/>
        <v>546</v>
      </c>
    </row>
    <row r="8" spans="1:10" x14ac:dyDescent="0.25">
      <c r="A8" s="17" t="s">
        <v>16</v>
      </c>
      <c r="B8" s="17">
        <v>3500</v>
      </c>
      <c r="C8" s="17">
        <v>0.2</v>
      </c>
      <c r="D8" s="17">
        <f t="shared" si="0"/>
        <v>700</v>
      </c>
      <c r="E8" s="17">
        <f t="shared" si="1"/>
        <v>91.000000000000014</v>
      </c>
    </row>
    <row r="9" spans="1:10" x14ac:dyDescent="0.25">
      <c r="A9" s="17" t="s">
        <v>17</v>
      </c>
      <c r="B9" s="17">
        <v>7000</v>
      </c>
      <c r="C9" s="17">
        <v>0.1</v>
      </c>
      <c r="D9" s="17">
        <f t="shared" si="0"/>
        <v>700</v>
      </c>
      <c r="E9" s="17">
        <f t="shared" si="1"/>
        <v>91.000000000000014</v>
      </c>
    </row>
    <row r="10" spans="1:10" x14ac:dyDescent="0.25">
      <c r="A10" s="17" t="s">
        <v>18</v>
      </c>
      <c r="B10" s="17">
        <v>750</v>
      </c>
      <c r="C10" s="17">
        <v>1.7</v>
      </c>
      <c r="D10" s="17">
        <f t="shared" si="0"/>
        <v>1275</v>
      </c>
      <c r="E10" s="17">
        <f t="shared" si="1"/>
        <v>165.75</v>
      </c>
    </row>
    <row r="11" spans="1:10" x14ac:dyDescent="0.25">
      <c r="A11" s="17" t="s">
        <v>19</v>
      </c>
      <c r="B11" s="17">
        <v>980</v>
      </c>
      <c r="C11" s="17">
        <v>3</v>
      </c>
      <c r="D11" s="17">
        <f t="shared" si="0"/>
        <v>2940</v>
      </c>
      <c r="E11" s="17">
        <f t="shared" si="1"/>
        <v>382.2</v>
      </c>
    </row>
    <row r="12" spans="1:10" x14ac:dyDescent="0.25">
      <c r="A12" s="17" t="s">
        <v>20</v>
      </c>
      <c r="B12" s="17">
        <v>752</v>
      </c>
      <c r="C12" s="17">
        <v>3</v>
      </c>
      <c r="D12" s="17">
        <f t="shared" si="0"/>
        <v>2256</v>
      </c>
      <c r="E12" s="17">
        <f t="shared" si="1"/>
        <v>293.28000000000003</v>
      </c>
    </row>
    <row r="13" spans="1:10" x14ac:dyDescent="0.25">
      <c r="A13" s="17" t="s">
        <v>21</v>
      </c>
      <c r="B13" s="17">
        <v>7080</v>
      </c>
      <c r="C13" s="17">
        <v>2</v>
      </c>
      <c r="D13" s="17">
        <f t="shared" si="0"/>
        <v>14160</v>
      </c>
      <c r="E13" s="17">
        <f t="shared" si="1"/>
        <v>1840.8</v>
      </c>
    </row>
    <row r="14" spans="1:10" x14ac:dyDescent="0.25">
      <c r="A14" s="17" t="s">
        <v>22</v>
      </c>
      <c r="B14" s="17">
        <v>6320</v>
      </c>
      <c r="C14" s="17">
        <v>0.4</v>
      </c>
      <c r="D14" s="17">
        <f t="shared" si="0"/>
        <v>2528</v>
      </c>
      <c r="E14" s="17">
        <f t="shared" si="1"/>
        <v>328.64000000000004</v>
      </c>
    </row>
    <row r="15" spans="1:10" x14ac:dyDescent="0.25">
      <c r="A15" s="17" t="s">
        <v>23</v>
      </c>
      <c r="B15" s="17">
        <v>789</v>
      </c>
      <c r="C15" s="17">
        <v>0.45</v>
      </c>
      <c r="D15" s="17">
        <f t="shared" si="0"/>
        <v>355.05</v>
      </c>
      <c r="E15" s="17">
        <f t="shared" si="1"/>
        <v>46.156500000000001</v>
      </c>
      <c r="G15" s="23"/>
    </row>
    <row r="16" spans="1:10" ht="15.75" thickBot="1" x14ac:dyDescent="0.3">
      <c r="C16" s="7"/>
      <c r="D16" s="7"/>
      <c r="J16" s="16"/>
    </row>
    <row r="17" spans="1:5" ht="15.75" thickBot="1" x14ac:dyDescent="0.3">
      <c r="A17" s="8" t="s">
        <v>24</v>
      </c>
      <c r="B17" s="9">
        <f>SUM(B3:B15)</f>
        <v>31208</v>
      </c>
      <c r="C17" s="10">
        <f>SUM(C3:C15)</f>
        <v>22.399999999999995</v>
      </c>
      <c r="D17" s="11">
        <f>SUM(D3:D15)</f>
        <v>34298.65</v>
      </c>
      <c r="E17" s="35">
        <f>SUM(E3:E15)</f>
        <v>4458.8245000000006</v>
      </c>
    </row>
    <row r="19" spans="1:5" x14ac:dyDescent="0.25">
      <c r="A19" s="17" t="s">
        <v>26</v>
      </c>
      <c r="B19" s="17">
        <v>0.13</v>
      </c>
    </row>
    <row r="21" spans="1:5" x14ac:dyDescent="0.25">
      <c r="A21" t="s">
        <v>28</v>
      </c>
    </row>
    <row r="22" spans="1:5" x14ac:dyDescent="0.25">
      <c r="A22" t="s">
        <v>29</v>
      </c>
    </row>
    <row r="23" spans="1:5" x14ac:dyDescent="0.25">
      <c r="A23" t="s">
        <v>30</v>
      </c>
    </row>
    <row r="24" spans="1:5" x14ac:dyDescent="0.25">
      <c r="A24" t="s">
        <v>31</v>
      </c>
    </row>
    <row r="25" spans="1:5" x14ac:dyDescent="0.25">
      <c r="A25" t="s">
        <v>32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86451-3087-4F05-84AE-D30BB93F9841}">
  <dimension ref="A1:L8"/>
  <sheetViews>
    <sheetView workbookViewId="0">
      <selection activeCell="E13" sqref="E13"/>
    </sheetView>
  </sheetViews>
  <sheetFormatPr baseColWidth="10" defaultRowHeight="15" x14ac:dyDescent="0.25"/>
  <cols>
    <col min="1" max="1" width="19.42578125" customWidth="1"/>
    <col min="2" max="2" width="18.42578125" customWidth="1"/>
    <col min="3" max="3" width="19.5703125" customWidth="1"/>
    <col min="4" max="4" width="23.28515625" customWidth="1"/>
  </cols>
  <sheetData>
    <row r="1" spans="1:12" x14ac:dyDescent="0.25">
      <c r="A1" t="s">
        <v>36</v>
      </c>
      <c r="B1" t="s">
        <v>37</v>
      </c>
      <c r="C1" t="s">
        <v>38</v>
      </c>
      <c r="D1" t="s">
        <v>39</v>
      </c>
    </row>
    <row r="2" spans="1:12" ht="29.25" x14ac:dyDescent="0.6">
      <c r="A2" s="27" t="s">
        <v>41</v>
      </c>
      <c r="B2" s="28" t="s">
        <v>42</v>
      </c>
      <c r="C2" s="18" t="s">
        <v>43</v>
      </c>
      <c r="D2" s="29" t="s">
        <v>33</v>
      </c>
    </row>
    <row r="5" spans="1:12" x14ac:dyDescent="0.25">
      <c r="A5" s="25" t="s">
        <v>40</v>
      </c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</row>
    <row r="7" spans="1:12" ht="15.75" x14ac:dyDescent="0.25">
      <c r="A7" s="20"/>
    </row>
    <row r="8" spans="1:12" ht="15.75" x14ac:dyDescent="0.25">
      <c r="D8" s="20"/>
    </row>
  </sheetData>
  <mergeCells count="1">
    <mergeCell ref="A5:L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FE73-B0D2-4ACB-9122-080DC3041948}">
  <dimension ref="A1:J25"/>
  <sheetViews>
    <sheetView tabSelected="1" topLeftCell="A5" zoomScaleNormal="100" workbookViewId="0">
      <selection activeCell="N36" sqref="N36"/>
    </sheetView>
  </sheetViews>
  <sheetFormatPr baseColWidth="10" defaultRowHeight="15" x14ac:dyDescent="0.25"/>
  <cols>
    <col min="1" max="1" width="11" bestFit="1" customWidth="1"/>
    <col min="2" max="2" width="9.28515625" bestFit="1" customWidth="1"/>
    <col min="3" max="3" width="69.28515625" bestFit="1" customWidth="1"/>
    <col min="6" max="6" width="20.85546875" customWidth="1"/>
    <col min="7" max="7" width="22.85546875" customWidth="1"/>
    <col min="8" max="8" width="24" customWidth="1"/>
  </cols>
  <sheetData>
    <row r="1" spans="1:7" ht="36" x14ac:dyDescent="0.5">
      <c r="A1" s="39" t="s">
        <v>71</v>
      </c>
      <c r="B1" s="30"/>
      <c r="C1" s="30"/>
      <c r="D1" s="30"/>
      <c r="E1" s="30"/>
      <c r="F1" s="30"/>
    </row>
    <row r="3" spans="1:7" x14ac:dyDescent="0.25">
      <c r="A3" s="33" t="s">
        <v>44</v>
      </c>
      <c r="B3" s="33" t="s">
        <v>45</v>
      </c>
      <c r="C3" s="33" t="s">
        <v>46</v>
      </c>
      <c r="D3" s="33" t="s">
        <v>47</v>
      </c>
      <c r="E3" s="33" t="s">
        <v>48</v>
      </c>
      <c r="F3" s="34" t="s">
        <v>70</v>
      </c>
      <c r="G3" s="33" t="s">
        <v>69</v>
      </c>
    </row>
    <row r="4" spans="1:7" x14ac:dyDescent="0.25">
      <c r="A4" s="44">
        <v>1001</v>
      </c>
      <c r="B4" s="44" t="s">
        <v>49</v>
      </c>
      <c r="C4" s="44" t="s">
        <v>50</v>
      </c>
      <c r="D4" s="40">
        <v>5</v>
      </c>
      <c r="E4" s="41">
        <v>29.992999999999999</v>
      </c>
      <c r="F4" s="41">
        <f>D4*E4</f>
        <v>149.965</v>
      </c>
      <c r="G4" s="42">
        <f>E4*$D$21*D4</f>
        <v>22.49475</v>
      </c>
    </row>
    <row r="5" spans="1:7" x14ac:dyDescent="0.25">
      <c r="A5" s="44">
        <v>1002</v>
      </c>
      <c r="B5" s="44" t="s">
        <v>49</v>
      </c>
      <c r="C5" s="44" t="s">
        <v>51</v>
      </c>
      <c r="D5" s="40">
        <v>7</v>
      </c>
      <c r="E5" s="41">
        <v>49.99</v>
      </c>
      <c r="F5" s="41">
        <f t="shared" ref="F5:F19" si="0">D5*E5</f>
        <v>349.93</v>
      </c>
      <c r="G5" s="42">
        <f t="shared" ref="G5:G19" si="1">E5*$D$21*D5</f>
        <v>52.4895</v>
      </c>
    </row>
    <row r="6" spans="1:7" x14ac:dyDescent="0.25">
      <c r="A6" s="44">
        <v>1003</v>
      </c>
      <c r="B6" s="44" t="s">
        <v>49</v>
      </c>
      <c r="C6" s="44" t="s">
        <v>52</v>
      </c>
      <c r="D6" s="40">
        <v>5</v>
      </c>
      <c r="E6" s="41">
        <v>69.989999999999995</v>
      </c>
      <c r="F6" s="41">
        <f t="shared" si="0"/>
        <v>349.95</v>
      </c>
      <c r="G6" s="42">
        <f t="shared" si="1"/>
        <v>52.492499999999993</v>
      </c>
    </row>
    <row r="7" spans="1:7" x14ac:dyDescent="0.25">
      <c r="A7" s="44">
        <v>4001</v>
      </c>
      <c r="B7" s="44" t="s">
        <v>49</v>
      </c>
      <c r="C7" s="44" t="s">
        <v>53</v>
      </c>
      <c r="D7" s="40">
        <v>5</v>
      </c>
      <c r="E7" s="41">
        <v>34.5</v>
      </c>
      <c r="F7" s="41">
        <f t="shared" si="0"/>
        <v>172.5</v>
      </c>
      <c r="G7" s="42">
        <f t="shared" si="1"/>
        <v>25.875</v>
      </c>
    </row>
    <row r="8" spans="1:7" x14ac:dyDescent="0.25">
      <c r="A8" s="44">
        <v>4002</v>
      </c>
      <c r="B8" s="44" t="s">
        <v>49</v>
      </c>
      <c r="C8" s="44" t="s">
        <v>54</v>
      </c>
      <c r="D8" s="40">
        <v>6</v>
      </c>
      <c r="E8" s="41">
        <v>44.5</v>
      </c>
      <c r="F8" s="41">
        <f t="shared" si="0"/>
        <v>267</v>
      </c>
      <c r="G8" s="42">
        <f t="shared" si="1"/>
        <v>40.049999999999997</v>
      </c>
    </row>
    <row r="9" spans="1:7" x14ac:dyDescent="0.25">
      <c r="A9" s="44">
        <v>4003</v>
      </c>
      <c r="B9" s="44" t="s">
        <v>49</v>
      </c>
      <c r="C9" s="44" t="s">
        <v>55</v>
      </c>
      <c r="D9" s="40">
        <v>4</v>
      </c>
      <c r="E9" s="41">
        <v>54.5</v>
      </c>
      <c r="F9" s="41">
        <f t="shared" si="0"/>
        <v>218</v>
      </c>
      <c r="G9" s="42">
        <f t="shared" si="1"/>
        <v>32.699999999999996</v>
      </c>
    </row>
    <row r="10" spans="1:7" x14ac:dyDescent="0.25">
      <c r="A10" s="44">
        <v>4004</v>
      </c>
      <c r="B10" s="44" t="s">
        <v>49</v>
      </c>
      <c r="C10" s="44" t="s">
        <v>56</v>
      </c>
      <c r="D10" s="40">
        <v>2</v>
      </c>
      <c r="E10" s="41">
        <v>199</v>
      </c>
      <c r="F10" s="41">
        <f t="shared" si="0"/>
        <v>398</v>
      </c>
      <c r="G10" s="42">
        <f t="shared" si="1"/>
        <v>59.699999999999996</v>
      </c>
    </row>
    <row r="11" spans="1:7" x14ac:dyDescent="0.25">
      <c r="A11" s="44">
        <v>6001</v>
      </c>
      <c r="B11" s="44" t="s">
        <v>49</v>
      </c>
      <c r="C11" s="44" t="s">
        <v>57</v>
      </c>
      <c r="D11" s="40">
        <v>3</v>
      </c>
      <c r="E11" s="41">
        <v>1349</v>
      </c>
      <c r="F11" s="41">
        <f t="shared" si="0"/>
        <v>4047</v>
      </c>
      <c r="G11" s="42">
        <f t="shared" si="1"/>
        <v>607.04999999999995</v>
      </c>
    </row>
    <row r="12" spans="1:7" x14ac:dyDescent="0.25">
      <c r="A12" s="44">
        <v>6002</v>
      </c>
      <c r="B12" s="44" t="s">
        <v>58</v>
      </c>
      <c r="C12" s="44" t="s">
        <v>59</v>
      </c>
      <c r="D12" s="40">
        <v>5</v>
      </c>
      <c r="E12" s="41">
        <v>1949</v>
      </c>
      <c r="F12" s="41">
        <f t="shared" si="0"/>
        <v>9745</v>
      </c>
      <c r="G12" s="42">
        <f t="shared" si="1"/>
        <v>1461.7499999999998</v>
      </c>
    </row>
    <row r="13" spans="1:7" x14ac:dyDescent="0.25">
      <c r="A13" s="44">
        <v>7001</v>
      </c>
      <c r="B13" s="44" t="s">
        <v>58</v>
      </c>
      <c r="C13" s="44" t="s">
        <v>60</v>
      </c>
      <c r="D13" s="40">
        <v>4</v>
      </c>
      <c r="E13" s="41">
        <v>220</v>
      </c>
      <c r="F13" s="41">
        <f t="shared" si="0"/>
        <v>880</v>
      </c>
      <c r="G13" s="42">
        <f t="shared" si="1"/>
        <v>132</v>
      </c>
    </row>
    <row r="14" spans="1:7" x14ac:dyDescent="0.25">
      <c r="A14" s="44">
        <v>7002</v>
      </c>
      <c r="B14" s="44" t="s">
        <v>49</v>
      </c>
      <c r="C14" s="44" t="s">
        <v>61</v>
      </c>
      <c r="D14" s="40">
        <v>2</v>
      </c>
      <c r="E14" s="41">
        <v>330</v>
      </c>
      <c r="F14" s="41">
        <f t="shared" si="0"/>
        <v>660</v>
      </c>
      <c r="G14" s="42">
        <f t="shared" si="1"/>
        <v>99</v>
      </c>
    </row>
    <row r="15" spans="1:7" x14ac:dyDescent="0.25">
      <c r="A15" s="44">
        <v>15</v>
      </c>
      <c r="B15" s="44" t="s">
        <v>62</v>
      </c>
      <c r="C15" s="44" t="s">
        <v>63</v>
      </c>
      <c r="D15" s="40">
        <v>6</v>
      </c>
      <c r="E15" s="41">
        <v>25</v>
      </c>
      <c r="F15" s="41">
        <f t="shared" si="0"/>
        <v>150</v>
      </c>
      <c r="G15" s="42">
        <f t="shared" si="1"/>
        <v>22.5</v>
      </c>
    </row>
    <row r="16" spans="1:7" x14ac:dyDescent="0.25">
      <c r="A16" s="44">
        <v>16</v>
      </c>
      <c r="B16" s="44" t="s">
        <v>62</v>
      </c>
      <c r="C16" s="44" t="s">
        <v>64</v>
      </c>
      <c r="D16" s="40">
        <v>5</v>
      </c>
      <c r="E16" s="41">
        <v>40</v>
      </c>
      <c r="F16" s="41">
        <f t="shared" si="0"/>
        <v>200</v>
      </c>
      <c r="G16" s="42">
        <f t="shared" si="1"/>
        <v>30</v>
      </c>
    </row>
    <row r="17" spans="1:10" x14ac:dyDescent="0.25">
      <c r="A17" s="44">
        <v>17</v>
      </c>
      <c r="B17" s="44" t="s">
        <v>62</v>
      </c>
      <c r="C17" s="44" t="s">
        <v>65</v>
      </c>
      <c r="D17" s="40">
        <v>3</v>
      </c>
      <c r="E17" s="41">
        <v>60</v>
      </c>
      <c r="F17" s="41">
        <f t="shared" si="0"/>
        <v>180</v>
      </c>
      <c r="G17" s="42">
        <f t="shared" si="1"/>
        <v>27</v>
      </c>
    </row>
    <row r="18" spans="1:10" x14ac:dyDescent="0.25">
      <c r="A18" s="44">
        <v>7003</v>
      </c>
      <c r="B18" s="44" t="s">
        <v>58</v>
      </c>
      <c r="C18" s="44" t="s">
        <v>66</v>
      </c>
      <c r="D18" s="40">
        <v>1</v>
      </c>
      <c r="E18" s="41">
        <v>450</v>
      </c>
      <c r="F18" s="41">
        <f t="shared" si="0"/>
        <v>450</v>
      </c>
      <c r="G18" s="42">
        <f t="shared" si="1"/>
        <v>67.5</v>
      </c>
    </row>
    <row r="19" spans="1:10" x14ac:dyDescent="0.25">
      <c r="A19" s="44">
        <v>9001</v>
      </c>
      <c r="B19" s="44" t="s">
        <v>58</v>
      </c>
      <c r="C19" s="44" t="s">
        <v>67</v>
      </c>
      <c r="D19" s="40">
        <v>1</v>
      </c>
      <c r="E19" s="41">
        <v>600</v>
      </c>
      <c r="F19" s="41">
        <f t="shared" si="0"/>
        <v>600</v>
      </c>
      <c r="G19" s="42">
        <f t="shared" si="1"/>
        <v>90</v>
      </c>
    </row>
    <row r="20" spans="1:10" x14ac:dyDescent="0.25">
      <c r="C20" s="36" t="s">
        <v>24</v>
      </c>
      <c r="D20" s="40">
        <f>SUM(D4:D19)</f>
        <v>64</v>
      </c>
      <c r="E20" s="43">
        <f t="shared" ref="D20:G20" si="2">SUM(E4:E19)</f>
        <v>5505.473</v>
      </c>
      <c r="F20" s="43">
        <f t="shared" si="2"/>
        <v>18817.345000000001</v>
      </c>
      <c r="G20" s="43">
        <f t="shared" si="2"/>
        <v>2822.6017499999998</v>
      </c>
    </row>
    <row r="21" spans="1:10" x14ac:dyDescent="0.25">
      <c r="A21" s="31"/>
      <c r="B21" s="31"/>
      <c r="C21" s="37" t="s">
        <v>26</v>
      </c>
      <c r="D21" s="38">
        <v>0.15</v>
      </c>
      <c r="E21" s="31"/>
      <c r="F21" s="31"/>
      <c r="G21" s="31"/>
      <c r="H21" s="31"/>
      <c r="I21" s="31"/>
      <c r="J21" s="31"/>
    </row>
    <row r="25" spans="1:10" x14ac:dyDescent="0.25">
      <c r="A25" s="32" t="s">
        <v>68</v>
      </c>
      <c r="B25" s="32"/>
      <c r="C25" s="32"/>
      <c r="D25" s="32"/>
      <c r="E25" s="32"/>
      <c r="F25" s="32"/>
    </row>
  </sheetData>
  <mergeCells count="2">
    <mergeCell ref="A1:F1"/>
    <mergeCell ref="A25:F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2022-09-29T23:13:29Z</dcterms:modified>
</cp:coreProperties>
</file>